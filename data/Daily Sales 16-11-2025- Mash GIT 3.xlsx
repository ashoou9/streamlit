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data\--Daily Sales\2025\mail\11. November\16-11-2025\"/>
    </mc:Choice>
  </mc:AlternateContent>
  <xr:revisionPtr revIDLastSave="0" documentId="8_{9D60B7AB-1F86-4F59-A601-427C970254F6}" xr6:coauthVersionLast="47" xr6:coauthVersionMax="47" xr10:uidLastSave="{00000000-0000-0000-0000-000000000000}"/>
  <bookViews>
    <workbookView xWindow="-108" yWindow="-108" windowWidth="23256" windowHeight="12576" xr2:uid="{29F9361A-55AC-4C1F-AE22-9B185172C8C5}"/>
  </bookViews>
  <sheets>
    <sheet name="Sheet1" sheetId="1" r:id="rId1"/>
  </sheets>
  <definedNames>
    <definedName name="_xlnm._FilterDatabase" localSheetId="0" hidden="1">Sheet1!$A$3:$BB$3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<sst xmlns="http://schemas.openxmlformats.org/spreadsheetml/2006/main" count="179" uniqueCount="121">
  <si>
    <t>Month</t>
  </si>
  <si>
    <t>Private Sales</t>
  </si>
  <si>
    <t>Private Target</t>
  </si>
  <si>
    <t>Private Ach</t>
  </si>
  <si>
    <t>Distributors</t>
  </si>
  <si>
    <t>STOCK</t>
  </si>
  <si>
    <t>Total Stock Without Badr</t>
  </si>
  <si>
    <t>Total Stock With Badr</t>
  </si>
  <si>
    <t>TENDER</t>
  </si>
  <si>
    <t>Total Tender</t>
  </si>
  <si>
    <t>Total Sales (Privte+Tender)</t>
  </si>
  <si>
    <t>Total Target (Privte+Tender)</t>
  </si>
  <si>
    <t>Total Ach</t>
  </si>
  <si>
    <t>Day</t>
  </si>
  <si>
    <t>Target</t>
  </si>
  <si>
    <t>Ach</t>
  </si>
  <si>
    <t>IBN SINA Private</t>
  </si>
  <si>
    <t>PHARMA Private</t>
  </si>
  <si>
    <t>UCP Private</t>
  </si>
  <si>
    <t>MEC Private</t>
  </si>
  <si>
    <t>Sofico Private</t>
  </si>
  <si>
    <t>ETC Private</t>
  </si>
  <si>
    <t>Direct</t>
  </si>
  <si>
    <t>Stores</t>
  </si>
  <si>
    <t>IBN SINA Stock</t>
  </si>
  <si>
    <t>PHARMA Stock</t>
  </si>
  <si>
    <t>UCP Stock</t>
  </si>
  <si>
    <t>MEC Stock</t>
  </si>
  <si>
    <t>Sofico Stock</t>
  </si>
  <si>
    <t>ETC Stock</t>
  </si>
  <si>
    <t>Badr stock</t>
  </si>
  <si>
    <t xml:space="preserve">Stock </t>
  </si>
  <si>
    <t>Total  Q-Stock</t>
  </si>
  <si>
    <t>Total  V-Stock</t>
  </si>
  <si>
    <t>IBN SINA TENDER</t>
  </si>
  <si>
    <t>POS TENDER</t>
  </si>
  <si>
    <t>UCP TENDER</t>
  </si>
  <si>
    <t>MEC TENDER</t>
  </si>
  <si>
    <t>Sofico TENDER</t>
  </si>
  <si>
    <t>Total Sales</t>
  </si>
  <si>
    <t>Cluster</t>
  </si>
  <si>
    <t>ID</t>
  </si>
  <si>
    <t>CRM Product Name</t>
  </si>
  <si>
    <t xml:space="preserve"> Q-Sales</t>
  </si>
  <si>
    <t xml:space="preserve">  V-Sales</t>
  </si>
  <si>
    <t>Q-Target</t>
  </si>
  <si>
    <t>V-Target</t>
  </si>
  <si>
    <t>Value</t>
  </si>
  <si>
    <t xml:space="preserve"> Q-Stock</t>
  </si>
  <si>
    <t xml:space="preserve">  V-Stock</t>
  </si>
  <si>
    <t>Stock / Day</t>
  </si>
  <si>
    <t xml:space="preserve"> V-Stock</t>
  </si>
  <si>
    <t>Quantity</t>
  </si>
  <si>
    <t>Mash GIT 3</t>
  </si>
  <si>
    <t>ACTI 20MG 20 TABS</t>
  </si>
  <si>
    <t>ANTIDIAL 10 TABS</t>
  </si>
  <si>
    <t>CIPROMEGA 0.5G 10 TABS</t>
  </si>
  <si>
    <t>CIPROMEGA 1GM 14 TABS</t>
  </si>
  <si>
    <t>NERVIXAL 30 TABS</t>
  </si>
  <si>
    <t>TRIGENDA 200MG 30 TABS</t>
  </si>
  <si>
    <t>527/0.7</t>
  </si>
  <si>
    <t>SAFETRIUM WOMEN 30 TAB I</t>
  </si>
  <si>
    <t>Mash GIT 3 Total</t>
  </si>
  <si>
    <t>November</t>
  </si>
  <si>
    <t>16/11/2025</t>
  </si>
  <si>
    <t>Line</t>
  </si>
  <si>
    <t>Sum of PRIVATE SALES Q</t>
  </si>
  <si>
    <t>Sum of PRIVATE SALES V</t>
  </si>
  <si>
    <t>Sum of PRIVATE TARGET Q</t>
  </si>
  <si>
    <t>Sum of PRIVATE TARGET V</t>
  </si>
  <si>
    <t>Private Ach%</t>
  </si>
  <si>
    <t>Sum of IBNSINA S.Q</t>
  </si>
  <si>
    <t>Sum of IBNSINA S.V</t>
  </si>
  <si>
    <t>Sum of POS S.Q</t>
  </si>
  <si>
    <t>Sum of POS S.V</t>
  </si>
  <si>
    <t>Sum of UCP S.Q</t>
  </si>
  <si>
    <t>Sum of UCP S.V</t>
  </si>
  <si>
    <t>Sum of MEC S.Q</t>
  </si>
  <si>
    <t>Sum of MEC S.V</t>
  </si>
  <si>
    <t>Sum of SOFICO S.Q</t>
  </si>
  <si>
    <t>Sum of SOFICO S.V</t>
  </si>
  <si>
    <t>Sum of ETC S.Q</t>
  </si>
  <si>
    <t>Sum of ETC S.V</t>
  </si>
  <si>
    <t>Sum of DIRECT S.Q</t>
  </si>
  <si>
    <t>Sum of DIRECT S.V</t>
  </si>
  <si>
    <t>Sum of STORES S.Q</t>
  </si>
  <si>
    <t>Sum of STORES S.V</t>
  </si>
  <si>
    <t>Sum of IBNSINA St.Q</t>
  </si>
  <si>
    <t>Sum of IBNSINA St.V</t>
  </si>
  <si>
    <t>Sum of POS St.Q</t>
  </si>
  <si>
    <t>Sum of POS St.V</t>
  </si>
  <si>
    <t>Sum of UCP St.Q</t>
  </si>
  <si>
    <t>Sum of UCP St.V</t>
  </si>
  <si>
    <t>Sum of MEC St.Q</t>
  </si>
  <si>
    <t>Sum of MEC St.V</t>
  </si>
  <si>
    <t>Sum of SOFICO St.Q</t>
  </si>
  <si>
    <t>Sum of SOFICO St.V</t>
  </si>
  <si>
    <t>Sum of ETC St.Q</t>
  </si>
  <si>
    <t>Sum of ETC St.V</t>
  </si>
  <si>
    <t>Sum of BADR STOCK</t>
  </si>
  <si>
    <t>Stock Days</t>
  </si>
  <si>
    <t>Sum of STOCK Q "without BADR"</t>
  </si>
  <si>
    <t>Sum of STOCK V "without BADR"</t>
  </si>
  <si>
    <t>Sum of TOTAL STOCK</t>
  </si>
  <si>
    <t>Sum of IBNSINA TENDER S.Q</t>
  </si>
  <si>
    <t>Sum of IBNSINA TENDER S.V</t>
  </si>
  <si>
    <t>Sum of POS TENDER S.Q</t>
  </si>
  <si>
    <t>Sum of POS TENDER S.V</t>
  </si>
  <si>
    <t>Sum of ETC Tender S.Q</t>
  </si>
  <si>
    <t>Sum of ETC Tender S.V</t>
  </si>
  <si>
    <t>Sum of UCP TENDER S.Q</t>
  </si>
  <si>
    <t>Sum of UCP TENDER S.V</t>
  </si>
  <si>
    <t>Sum of MEC TENDER S.Q</t>
  </si>
  <si>
    <t>Sum of MEC TENDER S.V</t>
  </si>
  <si>
    <t>Sum of SOFICO TENDER S.Q</t>
  </si>
  <si>
    <t>Sum of SOFICO TENDER S.V</t>
  </si>
  <si>
    <t>Sum of TENDER SALES Q</t>
  </si>
  <si>
    <t>Sum of TENDER SALES V</t>
  </si>
  <si>
    <t>Sum of TOTAL SALES Q</t>
  </si>
  <si>
    <t>Sum of TOTAL SALES V</t>
  </si>
  <si>
    <t>Sum of TOTAL TARGET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</si>
</sst>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5C5C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14" fontId="2" fillId="3" borderId="0" xfId="0" applyNumberFormat="1" applyFont="1" applyFill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164" fontId="3" fillId="5" borderId="0" xfId="1" applyNumberFormat="1" applyFont="1" applyFill="1" applyBorder="1" applyAlignment="1">
      <alignment horizontal="center" vertical="center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4" xfId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5" fillId="6" borderId="2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164" fontId="5" fillId="5" borderId="0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4" fontId="5" fillId="7" borderId="2" xfId="1" applyNumberFormat="1" applyFont="1" applyFill="1" applyBorder="1" applyAlignment="1">
      <alignment horizontal="center" vertical="center"/>
    </xf>
    <xf numFmtId="164" fontId="5" fillId="7" borderId="4" xfId="1" applyNumberFormat="1" applyFont="1" applyFill="1" applyBorder="1" applyAlignment="1">
      <alignment horizontal="center" vertical="center"/>
    </xf>
    <xf numFmtId="9" fontId="5" fillId="6" borderId="2" xfId="2" applyFont="1" applyFill="1" applyBorder="1" applyAlignment="1">
      <alignment horizontal="center" vertical="center"/>
    </xf>
    <xf numFmtId="2" fontId="0" fillId="0" borderId="0" xfId="0" applyNumberFormat="1"/>
    <xf numFmtId="0" fontId="4" fillId="8" borderId="0" xfId="0" applyFont="1" applyFill="1"/>
    <xf numFmtId="164" fontId="0" fillId="9" borderId="0" xfId="1" applyNumberFormat="1" applyFont="1" applyFill="1" applyAlignment="1">
      <alignment horizontal="center" vertical="center"/>
    </xf>
    <xf numFmtId="164" fontId="0" fillId="10" borderId="0" xfId="1" applyNumberFormat="1" applyFont="1" applyFill="1" applyAlignment="1">
      <alignment horizontal="center" vertical="center"/>
    </xf>
    <xf numFmtId="9" fontId="6" fillId="11" borderId="0" xfId="2" applyFont="1" applyFill="1" applyBorder="1" applyAlignment="1">
      <alignment horizontal="center" vertical="center"/>
    </xf>
    <xf numFmtId="164" fontId="0" fillId="5" borderId="0" xfId="1" applyNumberFormat="1" applyFont="1" applyFill="1" applyBorder="1" applyAlignment="1">
      <alignment horizontal="center" vertical="center"/>
    </xf>
    <xf numFmtId="164" fontId="6" fillId="12" borderId="0" xfId="1" applyNumberFormat="1" applyFont="1" applyFill="1" applyBorder="1" applyAlignment="1">
      <alignment horizontal="center" vertical="center"/>
    </xf>
    <xf numFmtId="164" fontId="7" fillId="10" borderId="0" xfId="1" applyNumberFormat="1" applyFont="1" applyFill="1" applyAlignment="1">
      <alignment horizontal="center" vertical="center"/>
    </xf>
    <xf numFmtId="9" fontId="7" fillId="11" borderId="0" xfId="2" applyFont="1" applyFill="1" applyBorder="1" applyAlignment="1">
      <alignment horizontal="center" vertical="center"/>
    </xf>
    <xf numFmtId="0" fontId="2" fillId="0" borderId="0" xfId="0" applyFont="1"/>
    <xf numFmtId="164" fontId="2" fillId="0" borderId="0" xfId="1" applyNumberFormat="1" applyFont="1"/>
    <xf numFmtId="9" fontId="2" fillId="0" borderId="0" xfId="2" applyFont="1" applyAlignment="1">
      <alignment horizontal="center"/>
    </xf>
    <xf numFmtId="164" fontId="0" fillId="0" borderId="0" xfId="1" applyNumberFormat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64" fontId="0" fillId="13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164" fontId="4" fillId="12" borderId="6" xfId="1" applyNumberFormat="1" applyFont="1" applyFill="1" applyBorder="1" applyAlignment="1">
      <alignment vertical="center"/>
    </xf>
    <xf numFmtId="9" fontId="4" fillId="12" borderId="6" xfId="2" applyFont="1" applyFill="1" applyBorder="1" applyAlignment="1">
      <alignment horizontal="center" vertical="center"/>
    </xf>
    <xf numFmtId="164" fontId="4" fillId="13" borderId="6" xfId="1" applyNumberFormat="1" applyFont="1" applyFill="1" applyBorder="1" applyAlignment="1">
      <alignment vertical="center"/>
    </xf>
    <xf numFmtId="9" fontId="4" fillId="12" borderId="6" xfId="2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B03A-1A4E-4C27-9343-31DBF0C7AEF8}">
  <dimension ref="A1:EB13"/>
  <sheetViews>
    <sheetView tabSelected="1" topLeftCell="D5" workbookViewId="0">
      <pane activePane="bottomRight" state="frozen"/>
      <selection activeCell="D5" sqref="D5"/>
    </sheetView>
  </sheetViews>
  <sheetFormatPr defaultRowHeight="14.4" outlineLevelCol="1" x14ac:dyDescent="0.3"/>
  <cols>
    <col min="1" max="1" width="27.77734375" customWidth="1"/>
    <col min="2" max="2" width="12.77734375" customWidth="1"/>
    <col min="3" max="3" width="30.77734375" customWidth="1"/>
    <col min="4" max="8" width="27.77734375" customWidth="1"/>
    <col min="9" max="24" width="27.77734375" customWidth="1" outlineLevel="1"/>
    <col min="25" max="25" width="2.77734375" customWidth="1"/>
    <col min="26" max="41" width="20.77734375" customWidth="1" outlineLevel="1"/>
    <col min="42" max="42" width="20.77734375" customWidth="1"/>
    <col min="43" max="54" width="20.77734375" customWidth="1" outlineLevel="1"/>
    <col min="55" max="59" width="20.77734375" customWidth="1"/>
  </cols>
  <sheetData>
    <row r="1" spans="1:132" ht="15.6" x14ac:dyDescent="0.3">
      <c r="A1" s="1" t="s">
        <v>0</v>
      </c>
      <c r="B1" s="1"/>
      <c r="C1" s="2" t="s">
        <v>63</v>
      </c>
      <c r="D1" s="3" t="s">
        <v>1</v>
      </c>
      <c r="E1" s="3"/>
      <c r="F1" s="3" t="s">
        <v>2</v>
      </c>
      <c r="G1" s="3"/>
      <c r="H1" s="4" t="s">
        <v>3</v>
      </c>
      <c r="I1" s="5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8" t="s">
        <v>5</v>
      </c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5" t="s">
        <v>6</v>
      </c>
      <c r="AO1" s="10"/>
      <c r="AP1" s="11" t="s">
        <v>7</v>
      </c>
      <c r="AQ1" s="12"/>
      <c r="AR1" s="12"/>
      <c r="AS1" s="12"/>
      <c r="AT1" s="12"/>
      <c r="AU1" s="5" t="s">
        <v>8</v>
      </c>
      <c r="AV1" s="6"/>
      <c r="AW1" s="6"/>
      <c r="AX1" s="6"/>
      <c r="AY1" s="6"/>
      <c r="AZ1" s="10"/>
      <c r="BA1" s="3" t="s">
        <v>9</v>
      </c>
      <c r="BB1" s="3"/>
      <c r="BC1" s="3" t="s">
        <v>10</v>
      </c>
      <c r="BD1" s="3"/>
      <c r="BE1" s="5" t="s">
        <v>11</v>
      </c>
      <c r="BF1" s="10"/>
      <c r="BG1" s="13" t="s">
        <v>12</v>
      </c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</row>
    <row r="2" spans="1:132" x14ac:dyDescent="0.3">
      <c r="A2" s="1" t="s">
        <v>13</v>
      </c>
      <c r="B2" s="1"/>
      <c r="C2" s="2" t="s">
        <v>64</v>
      </c>
      <c r="D2" s="15" t="s">
        <v>1</v>
      </c>
      <c r="E2" s="16"/>
      <c r="F2" s="17" t="s">
        <v>14</v>
      </c>
      <c r="G2" s="17"/>
      <c r="H2" s="18" t="s">
        <v>15</v>
      </c>
      <c r="I2" s="17" t="s">
        <v>16</v>
      </c>
      <c r="J2" s="17"/>
      <c r="K2" s="17" t="s">
        <v>17</v>
      </c>
      <c r="L2" s="17"/>
      <c r="M2" s="17" t="s">
        <v>18</v>
      </c>
      <c r="N2" s="17"/>
      <c r="O2" s="17" t="s">
        <v>19</v>
      </c>
      <c r="P2" s="17"/>
      <c r="Q2" s="17" t="s">
        <v>20</v>
      </c>
      <c r="R2" s="17"/>
      <c r="S2" s="17" t="s">
        <v>21</v>
      </c>
      <c r="T2" s="17"/>
      <c r="U2" s="17" t="s">
        <v>22</v>
      </c>
      <c r="V2" s="17"/>
      <c r="W2" s="17" t="s">
        <v>23</v>
      </c>
      <c r="X2" s="17"/>
      <c r="Y2" s="19"/>
      <c r="Z2" s="17" t="s">
        <v>24</v>
      </c>
      <c r="AA2" s="17"/>
      <c r="AB2" s="15" t="s">
        <v>25</v>
      </c>
      <c r="AC2" s="16"/>
      <c r="AD2" s="15" t="s">
        <v>26</v>
      </c>
      <c r="AE2" s="16"/>
      <c r="AF2" s="15" t="s">
        <v>27</v>
      </c>
      <c r="AG2" s="16"/>
      <c r="AH2" s="15" t="s">
        <v>28</v>
      </c>
      <c r="AI2" s="16"/>
      <c r="AJ2" s="15" t="s">
        <v>29</v>
      </c>
      <c r="AK2" s="16"/>
      <c r="AL2" s="20" t="s">
        <v>30</v>
      </c>
      <c r="AM2" s="21" t="s">
        <v>31</v>
      </c>
      <c r="AN2" s="21" t="s">
        <v>32</v>
      </c>
      <c r="AO2" s="21" t="s">
        <v>33</v>
      </c>
      <c r="AP2" s="21" t="s">
        <v>32</v>
      </c>
      <c r="AQ2" s="22" t="s">
        <v>34</v>
      </c>
      <c r="AR2" s="23"/>
      <c r="AS2" s="22" t="s">
        <v>35</v>
      </c>
      <c r="AT2" s="23"/>
      <c r="AU2" s="22" t="s">
        <v>36</v>
      </c>
      <c r="AV2" s="23"/>
      <c r="AW2" s="22" t="s">
        <v>37</v>
      </c>
      <c r="AX2" s="23"/>
      <c r="AY2" s="15" t="s">
        <v>38</v>
      </c>
      <c r="AZ2" s="16"/>
      <c r="BA2" s="15" t="s">
        <v>9</v>
      </c>
      <c r="BB2" s="16"/>
      <c r="BC2" s="15" t="s">
        <v>39</v>
      </c>
      <c r="BD2" s="16"/>
      <c r="BE2" s="15" t="s">
        <v>14</v>
      </c>
      <c r="BF2" s="16"/>
      <c r="BG2" s="24" t="s">
        <v>15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</row>
    <row r="3" spans="1:132" ht="15.6" x14ac:dyDescent="0.3">
      <c r="A3" s="26" t="s">
        <v>40</v>
      </c>
      <c r="B3" s="26" t="s">
        <v>41</v>
      </c>
      <c r="C3" s="26" t="s">
        <v>42</v>
      </c>
      <c r="D3" s="27" t="s">
        <v>43</v>
      </c>
      <c r="E3" s="28" t="s">
        <v>44</v>
      </c>
      <c r="F3" s="27" t="s">
        <v>45</v>
      </c>
      <c r="G3" s="28" t="s">
        <v>46</v>
      </c>
      <c r="H3" s="29" t="s">
        <v>47</v>
      </c>
      <c r="I3" s="27" t="s">
        <v>43</v>
      </c>
      <c r="J3" s="28" t="s">
        <v>44</v>
      </c>
      <c r="K3" s="27" t="s">
        <v>43</v>
      </c>
      <c r="L3" s="28" t="s">
        <v>44</v>
      </c>
      <c r="M3" s="27" t="s">
        <v>43</v>
      </c>
      <c r="N3" s="28" t="s">
        <v>44</v>
      </c>
      <c r="O3" s="27" t="s">
        <v>43</v>
      </c>
      <c r="P3" s="28" t="s">
        <v>44</v>
      </c>
      <c r="Q3" s="27" t="s">
        <v>43</v>
      </c>
      <c r="R3" s="28" t="s">
        <v>44</v>
      </c>
      <c r="S3" s="27" t="s">
        <v>43</v>
      </c>
      <c r="T3" s="28" t="s">
        <v>44</v>
      </c>
      <c r="U3" s="27" t="s">
        <v>43</v>
      </c>
      <c r="V3" s="28" t="s">
        <v>44</v>
      </c>
      <c r="W3" s="27" t="s">
        <v>43</v>
      </c>
      <c r="X3" s="28" t="s">
        <v>44</v>
      </c>
      <c r="Y3" s="30"/>
      <c r="Z3" s="27" t="s">
        <v>48</v>
      </c>
      <c r="AA3" s="28" t="s">
        <v>49</v>
      </c>
      <c r="AB3" s="27" t="s">
        <v>48</v>
      </c>
      <c r="AC3" s="28" t="s">
        <v>44</v>
      </c>
      <c r="AD3" s="27" t="s">
        <v>48</v>
      </c>
      <c r="AE3" s="28" t="s">
        <v>49</v>
      </c>
      <c r="AF3" s="27" t="s">
        <v>48</v>
      </c>
      <c r="AG3" s="28" t="s">
        <v>49</v>
      </c>
      <c r="AH3" s="27" t="s">
        <v>48</v>
      </c>
      <c r="AI3" s="28" t="s">
        <v>49</v>
      </c>
      <c r="AJ3" s="27" t="s">
        <v>48</v>
      </c>
      <c r="AK3" s="28" t="s">
        <v>49</v>
      </c>
      <c r="AL3" s="31" t="s">
        <v>48</v>
      </c>
      <c r="AM3" s="32" t="s">
        <v>50</v>
      </c>
      <c r="AN3" s="27" t="s">
        <v>48</v>
      </c>
      <c r="AO3" s="28" t="s">
        <v>51</v>
      </c>
      <c r="AP3" s="27" t="s">
        <v>48</v>
      </c>
      <c r="AQ3" s="27" t="s">
        <v>43</v>
      </c>
      <c r="AR3" s="28" t="s">
        <v>44</v>
      </c>
      <c r="AS3" s="27" t="s">
        <v>43</v>
      </c>
      <c r="AT3" s="28" t="s">
        <v>44</v>
      </c>
      <c r="AU3" s="27" t="s">
        <v>43</v>
      </c>
      <c r="AV3" s="28" t="s">
        <v>44</v>
      </c>
      <c r="AW3" s="27" t="s">
        <v>43</v>
      </c>
      <c r="AX3" s="28" t="s">
        <v>44</v>
      </c>
      <c r="AY3" s="27" t="s">
        <v>43</v>
      </c>
      <c r="AZ3" s="28" t="s">
        <v>44</v>
      </c>
      <c r="BA3" s="27" t="s">
        <v>43</v>
      </c>
      <c r="BB3" s="28" t="s">
        <v>44</v>
      </c>
      <c r="BC3" s="27" t="s">
        <v>43</v>
      </c>
      <c r="BD3" s="28" t="s">
        <v>44</v>
      </c>
      <c r="BE3" s="27" t="s">
        <v>52</v>
      </c>
      <c r="BF3" s="28" t="s">
        <v>47</v>
      </c>
      <c r="BG3" s="33" t="s">
        <v>47</v>
      </c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</row>
    <row r="4" spans="1:132" x14ac:dyDescent="0.3">
      <c r="A4" s="34" t="s">
        <v>65</v>
      </c>
      <c r="B4" s="34" t="s">
        <v>41</v>
      </c>
      <c r="C4" s="34" t="s">
        <v>42</v>
      </c>
      <c r="D4" s="35" t="s">
        <v>66</v>
      </c>
      <c r="E4" s="35" t="s">
        <v>67</v>
      </c>
      <c r="F4" s="35" t="s">
        <v>68</v>
      </c>
      <c r="G4" s="35" t="s">
        <v>69</v>
      </c>
      <c r="H4" s="36" t="s">
        <v>70</v>
      </c>
      <c r="I4" s="35" t="s">
        <v>71</v>
      </c>
      <c r="J4" s="35" t="s">
        <v>72</v>
      </c>
      <c r="K4" s="35" t="s">
        <v>73</v>
      </c>
      <c r="L4" s="35" t="s">
        <v>74</v>
      </c>
      <c r="M4" s="35" t="s">
        <v>75</v>
      </c>
      <c r="N4" s="35" t="s">
        <v>76</v>
      </c>
      <c r="O4" s="35" t="s">
        <v>77</v>
      </c>
      <c r="P4" s="35" t="s">
        <v>78</v>
      </c>
      <c r="Q4" s="35" t="s">
        <v>79</v>
      </c>
      <c r="R4" s="35" t="s">
        <v>80</v>
      </c>
      <c r="S4" s="35" t="s">
        <v>81</v>
      </c>
      <c r="T4" s="35" t="s">
        <v>82</v>
      </c>
      <c r="U4" s="35" t="s">
        <v>83</v>
      </c>
      <c r="V4" s="35" t="s">
        <v>84</v>
      </c>
      <c r="W4" s="35" t="s">
        <v>85</v>
      </c>
      <c r="X4" s="35" t="s">
        <v>86</v>
      </c>
      <c r="Y4" s="35"/>
      <c r="Z4" s="35" t="s">
        <v>87</v>
      </c>
      <c r="AA4" s="35" t="s">
        <v>88</v>
      </c>
      <c r="AB4" s="35" t="s">
        <v>89</v>
      </c>
      <c r="AC4" s="35" t="s">
        <v>90</v>
      </c>
      <c r="AD4" s="35" t="s">
        <v>91</v>
      </c>
      <c r="AE4" s="35" t="s">
        <v>92</v>
      </c>
      <c r="AF4" s="35" t="s">
        <v>93</v>
      </c>
      <c r="AG4" s="35" t="s">
        <v>94</v>
      </c>
      <c r="AH4" s="35" t="s">
        <v>95</v>
      </c>
      <c r="AI4" s="35" t="s">
        <v>96</v>
      </c>
      <c r="AJ4" s="35" t="s">
        <v>97</v>
      </c>
      <c r="AK4" s="35" t="s">
        <v>98</v>
      </c>
      <c r="AL4" s="35" t="s">
        <v>99</v>
      </c>
      <c r="AM4" s="35" t="s">
        <v>100</v>
      </c>
      <c r="AN4" s="35" t="s">
        <v>101</v>
      </c>
      <c r="AO4" s="35" t="s">
        <v>102</v>
      </c>
      <c r="AP4" s="35" t="s">
        <v>103</v>
      </c>
      <c r="AQ4" s="35" t="s">
        <v>104</v>
      </c>
      <c r="AR4" s="35" t="s">
        <v>105</v>
      </c>
      <c r="AS4" s="35" t="s">
        <v>106</v>
      </c>
      <c r="AT4" s="35" t="s">
        <v>107</v>
      </c>
      <c r="AU4" s="35" t="s">
        <v>108</v>
      </c>
      <c r="AV4" s="35" t="s">
        <v>109</v>
      </c>
      <c r="AW4" s="35" t="s">
        <v>110</v>
      </c>
      <c r="AX4" s="35" t="s">
        <v>111</v>
      </c>
      <c r="AY4" s="35" t="s">
        <v>112</v>
      </c>
      <c r="AZ4" s="35" t="s">
        <v>113</v>
      </c>
      <c r="BA4" s="35" t="s">
        <v>114</v>
      </c>
      <c r="BB4" s="35" t="s">
        <v>115</v>
      </c>
      <c r="BC4" s="35" t="s">
        <v>116</v>
      </c>
      <c r="BD4" s="35" t="s">
        <v>117</v>
      </c>
      <c r="BE4" s="35" t="s">
        <v>118</v>
      </c>
      <c r="BF4" s="35" t="s">
        <v>119</v>
      </c>
      <c r="BG4" s="36" t="s">
        <v>120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</row>
    <row r="5" spans="1:132" x14ac:dyDescent="0.3">
      <c r="A5" t="s">
        <v>53</v>
      </c>
      <c r="B5" s="34">
        <v>503</v>
      </c>
      <c r="C5" t="s">
        <v>54</v>
      </c>
      <c r="D5" s="37">
        <v>803</v>
      </c>
      <c r="E5" s="37">
        <v>66809.600000000006</v>
      </c>
      <c r="F5" s="37">
        <v>33000</v>
      </c>
      <c r="G5" s="37">
        <v>2745600</v>
      </c>
      <c r="H5" s="38">
        <v>2.4333333333333335E-2</v>
      </c>
      <c r="I5" s="37">
        <v>366</v>
      </c>
      <c r="J5" s="37">
        <v>30451.200000000001</v>
      </c>
      <c r="K5" s="37">
        <v>420</v>
      </c>
      <c r="L5" s="37">
        <v>34944</v>
      </c>
      <c r="M5" s="37">
        <v>0</v>
      </c>
      <c r="N5" s="37">
        <v>0</v>
      </c>
      <c r="O5" s="37">
        <v>0</v>
      </c>
      <c r="P5" s="37">
        <v>0</v>
      </c>
      <c r="Q5" s="37">
        <v>13</v>
      </c>
      <c r="R5" s="37">
        <v>1081.6000000000001</v>
      </c>
      <c r="S5" s="37">
        <v>4</v>
      </c>
      <c r="T5" s="37">
        <v>332.8</v>
      </c>
      <c r="U5" s="37">
        <v>0</v>
      </c>
      <c r="V5" s="37">
        <v>0</v>
      </c>
      <c r="W5" s="37">
        <v>0</v>
      </c>
      <c r="X5" s="37">
        <v>0</v>
      </c>
      <c r="Y5" s="39"/>
      <c r="Z5" s="37">
        <v>4007</v>
      </c>
      <c r="AA5" s="37">
        <v>333382.40000000002</v>
      </c>
      <c r="AB5" s="37">
        <v>6644</v>
      </c>
      <c r="AC5" s="37">
        <v>552780.80000000005</v>
      </c>
      <c r="AD5" s="37">
        <v>0</v>
      </c>
      <c r="AE5" s="37">
        <v>0</v>
      </c>
      <c r="AF5" s="37">
        <v>0</v>
      </c>
      <c r="AG5" s="37">
        <v>0</v>
      </c>
      <c r="AH5" s="37">
        <v>2064</v>
      </c>
      <c r="AI5" s="37">
        <v>171724.80000000002</v>
      </c>
      <c r="AJ5" s="37">
        <v>8221.5</v>
      </c>
      <c r="AK5" s="37">
        <v>684028.8</v>
      </c>
      <c r="AL5" s="37">
        <v>0</v>
      </c>
      <c r="AM5" s="37">
        <v>19.03318181818182</v>
      </c>
      <c r="AN5" s="37">
        <v>20936.5</v>
      </c>
      <c r="AO5" s="37">
        <v>1741916.8</v>
      </c>
      <c r="AP5" s="37">
        <v>20936.5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v>803</v>
      </c>
      <c r="BF5" s="37">
        <v>66809.600000000006</v>
      </c>
      <c r="BG5" s="38">
        <v>33000</v>
      </c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</row>
    <row r="6" spans="1:132" x14ac:dyDescent="0.3">
      <c r="A6" t="s">
        <v>53</v>
      </c>
      <c r="B6" s="34">
        <v>460</v>
      </c>
      <c r="C6" s="40" t="s">
        <v>55</v>
      </c>
      <c r="D6" s="37">
        <v>0</v>
      </c>
      <c r="E6" s="37">
        <v>0</v>
      </c>
      <c r="F6" s="37">
        <v>5500</v>
      </c>
      <c r="G6" s="37">
        <v>237765</v>
      </c>
      <c r="H6" s="38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9"/>
      <c r="Z6" s="37">
        <v>0</v>
      </c>
      <c r="AA6" s="37">
        <v>0</v>
      </c>
      <c r="AB6" s="37">
        <v>39</v>
      </c>
      <c r="AC6" s="37">
        <v>1685.9699999999998</v>
      </c>
      <c r="AD6" s="37">
        <v>0</v>
      </c>
      <c r="AE6" s="37">
        <v>0</v>
      </c>
      <c r="AF6" s="37">
        <v>0</v>
      </c>
      <c r="AG6" s="37">
        <v>0</v>
      </c>
      <c r="AH6" s="37">
        <v>95</v>
      </c>
      <c r="AI6" s="37">
        <v>4106.8499999999995</v>
      </c>
      <c r="AJ6" s="37">
        <v>84</v>
      </c>
      <c r="AK6" s="37">
        <v>3631.3199999999997</v>
      </c>
      <c r="AL6" s="37">
        <v>0</v>
      </c>
      <c r="AM6" s="37">
        <v>0</v>
      </c>
      <c r="AN6" s="37">
        <v>218</v>
      </c>
      <c r="AO6" s="37">
        <v>9424.14</v>
      </c>
      <c r="AP6" s="37">
        <v>218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8">
        <v>5500</v>
      </c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</row>
    <row r="7" spans="1:132" x14ac:dyDescent="0.3">
      <c r="A7" t="s">
        <v>53</v>
      </c>
      <c r="B7" s="34">
        <v>85</v>
      </c>
      <c r="C7" t="s">
        <v>56</v>
      </c>
      <c r="D7" s="37">
        <v>2299</v>
      </c>
      <c r="E7" s="37">
        <v>77085.47</v>
      </c>
      <c r="F7" s="37">
        <v>13580</v>
      </c>
      <c r="G7" s="37">
        <v>455337.4</v>
      </c>
      <c r="H7" s="38">
        <v>0.16929307805596464</v>
      </c>
      <c r="I7" s="37">
        <v>946</v>
      </c>
      <c r="J7" s="37">
        <v>31719.38</v>
      </c>
      <c r="K7" s="37">
        <v>1348</v>
      </c>
      <c r="L7" s="37">
        <v>45198.44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5</v>
      </c>
      <c r="T7" s="37">
        <v>167.65</v>
      </c>
      <c r="U7" s="37">
        <v>0</v>
      </c>
      <c r="V7" s="37">
        <v>0</v>
      </c>
      <c r="W7" s="37">
        <v>0</v>
      </c>
      <c r="X7" s="37">
        <v>0</v>
      </c>
      <c r="Y7" s="39"/>
      <c r="Z7" s="37">
        <v>583</v>
      </c>
      <c r="AA7" s="37">
        <v>19547.990000000002</v>
      </c>
      <c r="AB7" s="37">
        <v>9581</v>
      </c>
      <c r="AC7" s="37">
        <v>321250.93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269</v>
      </c>
      <c r="AK7" s="37">
        <v>9019.57</v>
      </c>
      <c r="AL7" s="37">
        <v>0</v>
      </c>
      <c r="AM7" s="37">
        <v>23.047864506627395</v>
      </c>
      <c r="AN7" s="37">
        <v>10433</v>
      </c>
      <c r="AO7" s="37">
        <v>349818.49</v>
      </c>
      <c r="AP7" s="37">
        <v>10433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2299</v>
      </c>
      <c r="BF7" s="37">
        <v>77085.47</v>
      </c>
      <c r="BG7" s="38">
        <v>13580</v>
      </c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</row>
    <row r="8" spans="1:132" x14ac:dyDescent="0.3">
      <c r="A8" t="s">
        <v>53</v>
      </c>
      <c r="B8" s="34">
        <v>195</v>
      </c>
      <c r="C8" t="s">
        <v>57</v>
      </c>
      <c r="D8" s="37">
        <v>1893</v>
      </c>
      <c r="E8" s="37">
        <v>171108.27</v>
      </c>
      <c r="F8" s="37">
        <v>19741</v>
      </c>
      <c r="G8" s="37">
        <v>1784388.99</v>
      </c>
      <c r="H8" s="38">
        <v>9.5891798794387306E-2</v>
      </c>
      <c r="I8" s="37">
        <v>400</v>
      </c>
      <c r="J8" s="37">
        <v>36156</v>
      </c>
      <c r="K8" s="37">
        <v>1463</v>
      </c>
      <c r="L8" s="37">
        <v>132240.57</v>
      </c>
      <c r="M8" s="37">
        <v>0</v>
      </c>
      <c r="N8" s="37">
        <v>0</v>
      </c>
      <c r="O8" s="37">
        <v>0</v>
      </c>
      <c r="P8" s="37">
        <v>0</v>
      </c>
      <c r="Q8" s="37">
        <v>22</v>
      </c>
      <c r="R8" s="37">
        <v>1988.58</v>
      </c>
      <c r="S8" s="37">
        <v>8</v>
      </c>
      <c r="T8" s="37">
        <v>723.12</v>
      </c>
      <c r="U8" s="37">
        <v>0</v>
      </c>
      <c r="V8" s="37">
        <v>0</v>
      </c>
      <c r="W8" s="37">
        <v>0</v>
      </c>
      <c r="X8" s="37">
        <v>0</v>
      </c>
      <c r="Y8" s="39"/>
      <c r="Z8" s="37">
        <v>1747</v>
      </c>
      <c r="AA8" s="37">
        <v>157911.32999999999</v>
      </c>
      <c r="AB8" s="37">
        <v>11556</v>
      </c>
      <c r="AC8" s="37">
        <v>1044546.84</v>
      </c>
      <c r="AD8" s="37">
        <v>0</v>
      </c>
      <c r="AE8" s="37">
        <v>0</v>
      </c>
      <c r="AF8" s="37">
        <v>0</v>
      </c>
      <c r="AG8" s="37">
        <v>0</v>
      </c>
      <c r="AH8" s="37">
        <v>1526</v>
      </c>
      <c r="AI8" s="37">
        <v>137935.14000000001</v>
      </c>
      <c r="AJ8" s="37">
        <v>96.5</v>
      </c>
      <c r="AK8" s="37">
        <v>8722.6350000000002</v>
      </c>
      <c r="AL8" s="37">
        <v>0</v>
      </c>
      <c r="AM8" s="37">
        <v>22.681981662529761</v>
      </c>
      <c r="AN8" s="37">
        <v>14925.5</v>
      </c>
      <c r="AO8" s="37">
        <v>1349115.9450000001</v>
      </c>
      <c r="AP8" s="37">
        <v>14925.5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1893</v>
      </c>
      <c r="BF8" s="37">
        <v>171108.27</v>
      </c>
      <c r="BG8" s="38">
        <v>19741</v>
      </c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</row>
    <row r="9" spans="1:132" x14ac:dyDescent="0.3">
      <c r="A9" t="s">
        <v>53</v>
      </c>
      <c r="B9" s="34">
        <v>380</v>
      </c>
      <c r="C9" t="s">
        <v>58</v>
      </c>
      <c r="D9" s="37">
        <v>1118</v>
      </c>
      <c r="E9" s="37">
        <v>62138.439999999995</v>
      </c>
      <c r="F9" s="37">
        <v>16380</v>
      </c>
      <c r="G9" s="37">
        <v>910400.4</v>
      </c>
      <c r="H9" s="38">
        <v>6.8253968253968247E-2</v>
      </c>
      <c r="I9" s="37">
        <v>779</v>
      </c>
      <c r="J9" s="37">
        <v>43296.82</v>
      </c>
      <c r="K9" s="37">
        <v>319</v>
      </c>
      <c r="L9" s="37">
        <v>17730.02</v>
      </c>
      <c r="M9" s="37">
        <v>0</v>
      </c>
      <c r="N9" s="37">
        <v>0</v>
      </c>
      <c r="O9" s="37">
        <v>0</v>
      </c>
      <c r="P9" s="37">
        <v>0</v>
      </c>
      <c r="Q9" s="37">
        <v>12</v>
      </c>
      <c r="R9" s="37">
        <v>666.96</v>
      </c>
      <c r="S9" s="37">
        <v>8</v>
      </c>
      <c r="T9" s="37">
        <v>444.64</v>
      </c>
      <c r="U9" s="37">
        <v>0</v>
      </c>
      <c r="V9" s="37">
        <v>0</v>
      </c>
      <c r="W9" s="37">
        <v>0</v>
      </c>
      <c r="X9" s="37">
        <v>0</v>
      </c>
      <c r="Y9" s="39"/>
      <c r="Z9" s="37">
        <v>3391</v>
      </c>
      <c r="AA9" s="37">
        <v>188471.78</v>
      </c>
      <c r="AB9" s="37">
        <v>5300</v>
      </c>
      <c r="AC9" s="37">
        <v>294574</v>
      </c>
      <c r="AD9" s="37">
        <v>0</v>
      </c>
      <c r="AE9" s="37">
        <v>0</v>
      </c>
      <c r="AF9" s="37">
        <v>0</v>
      </c>
      <c r="AG9" s="37">
        <v>0</v>
      </c>
      <c r="AH9" s="37">
        <v>2010</v>
      </c>
      <c r="AI9" s="37">
        <v>111715.8</v>
      </c>
      <c r="AJ9" s="37">
        <v>149.33333333333329</v>
      </c>
      <c r="AK9" s="37">
        <v>8299.9466666666631</v>
      </c>
      <c r="AL9" s="37">
        <v>0</v>
      </c>
      <c r="AM9" s="37">
        <v>19.872405372405375</v>
      </c>
      <c r="AN9" s="37">
        <v>10850.333333333334</v>
      </c>
      <c r="AO9" s="37">
        <v>603061.52666666673</v>
      </c>
      <c r="AP9" s="37">
        <v>10850.333333333334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37">
        <v>1118</v>
      </c>
      <c r="BF9" s="37">
        <v>62138.439999999995</v>
      </c>
      <c r="BG9" s="38">
        <v>16380</v>
      </c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</row>
    <row r="10" spans="1:132" x14ac:dyDescent="0.3">
      <c r="A10" t="s">
        <v>53</v>
      </c>
      <c r="B10" s="34">
        <v>173</v>
      </c>
      <c r="C10" t="s">
        <v>59</v>
      </c>
      <c r="D10" s="37">
        <v>1246</v>
      </c>
      <c r="E10" s="37">
        <v>66760.679999999993</v>
      </c>
      <c r="F10" s="37">
        <v>22000</v>
      </c>
      <c r="G10" s="37">
        <v>1178760</v>
      </c>
      <c r="H10" s="38">
        <v>5.6636363636363631E-2</v>
      </c>
      <c r="I10" s="37">
        <v>328</v>
      </c>
      <c r="J10" s="37">
        <v>17574.239999999998</v>
      </c>
      <c r="K10" s="37">
        <v>918</v>
      </c>
      <c r="L10" s="37">
        <v>49186.439999999995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9"/>
      <c r="Z10" s="37">
        <v>290</v>
      </c>
      <c r="AA10" s="37">
        <v>15538.199999999999</v>
      </c>
      <c r="AB10" s="37">
        <v>4415</v>
      </c>
      <c r="AC10" s="37">
        <v>236555.69999999998</v>
      </c>
      <c r="AD10" s="37">
        <v>0</v>
      </c>
      <c r="AE10" s="37">
        <v>0</v>
      </c>
      <c r="AF10" s="37">
        <v>0</v>
      </c>
      <c r="AG10" s="37">
        <v>0</v>
      </c>
      <c r="AH10" s="37">
        <v>2</v>
      </c>
      <c r="AI10" s="37">
        <v>107.16</v>
      </c>
      <c r="AJ10" s="37">
        <v>53</v>
      </c>
      <c r="AK10" s="37">
        <v>2839.74</v>
      </c>
      <c r="AL10" s="37">
        <v>0</v>
      </c>
      <c r="AM10" s="37">
        <v>6.4909090909090912</v>
      </c>
      <c r="AN10" s="37">
        <v>4760</v>
      </c>
      <c r="AO10" s="37">
        <v>255040.8</v>
      </c>
      <c r="AP10" s="37">
        <v>4760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1246</v>
      </c>
      <c r="BF10" s="37">
        <v>66760.679999999993</v>
      </c>
      <c r="BG10" s="38">
        <v>22000</v>
      </c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</row>
    <row r="11" spans="1:132" x14ac:dyDescent="0.3">
      <c r="A11" t="s">
        <v>53</v>
      </c>
      <c r="B11" s="34" t="s">
        <v>60</v>
      </c>
      <c r="C11" s="41" t="s">
        <v>61</v>
      </c>
      <c r="D11" s="37">
        <v>1775.8999999999999</v>
      </c>
      <c r="E11" s="37">
        <v>219341.40900000001</v>
      </c>
      <c r="F11" s="37">
        <v>7000</v>
      </c>
      <c r="G11" s="37">
        <v>864570</v>
      </c>
      <c r="H11" s="38">
        <v>0.25370000000000004</v>
      </c>
      <c r="I11" s="37">
        <v>173.6</v>
      </c>
      <c r="J11" s="37">
        <v>21441.335999999999</v>
      </c>
      <c r="K11" s="37">
        <v>1571.5</v>
      </c>
      <c r="L11" s="37">
        <v>194095.965</v>
      </c>
      <c r="M11" s="37">
        <v>0</v>
      </c>
      <c r="N11" s="37">
        <v>0</v>
      </c>
      <c r="O11" s="37">
        <v>0</v>
      </c>
      <c r="P11" s="37">
        <v>0</v>
      </c>
      <c r="Q11" s="37">
        <v>30.799999999999997</v>
      </c>
      <c r="R11" s="37">
        <v>3804.1079999999997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9"/>
      <c r="Z11" s="37">
        <v>795</v>
      </c>
      <c r="AA11" s="37">
        <v>98190.45</v>
      </c>
      <c r="AB11" s="37">
        <v>7153</v>
      </c>
      <c r="AC11" s="37">
        <v>883467.03</v>
      </c>
      <c r="AD11" s="37">
        <v>0</v>
      </c>
      <c r="AE11" s="37">
        <v>0</v>
      </c>
      <c r="AF11" s="37">
        <v>0</v>
      </c>
      <c r="AG11" s="37">
        <v>0</v>
      </c>
      <c r="AH11" s="37">
        <v>1462</v>
      </c>
      <c r="AI11" s="37">
        <v>180571.62</v>
      </c>
      <c r="AJ11" s="37">
        <v>56</v>
      </c>
      <c r="AK11" s="37">
        <v>6916.56</v>
      </c>
      <c r="AL11" s="37">
        <v>0</v>
      </c>
      <c r="AM11" s="37">
        <v>40.568571428571431</v>
      </c>
      <c r="AN11" s="37">
        <v>9466</v>
      </c>
      <c r="AO11" s="37">
        <v>1169145.6600000001</v>
      </c>
      <c r="AP11" s="37">
        <v>9466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1775.8999999999999</v>
      </c>
      <c r="BF11" s="37">
        <v>219341.40900000001</v>
      </c>
      <c r="BG11" s="38">
        <v>7000</v>
      </c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</row>
    <row r="12" spans="1:132" ht="16.2" thickBot="1" x14ac:dyDescent="0.35">
      <c r="A12" s="42" t="s">
        <v>62</v>
      </c>
      <c r="B12" s="42"/>
      <c r="C12" s="42"/>
      <c r="D12" s="42">
        <v>9134.9</v>
      </c>
      <c r="E12" s="42">
        <v>663243.86899999995</v>
      </c>
      <c r="F12" s="42">
        <v>117201</v>
      </c>
      <c r="G12" s="42">
        <v>8176821.79</v>
      </c>
      <c r="H12" s="43">
        <v>8.1112672629251467E-2</v>
      </c>
      <c r="I12" s="42">
        <v>2992.6</v>
      </c>
      <c r="J12" s="42">
        <v>180638.976</v>
      </c>
      <c r="K12" s="42">
        <v>6039.5</v>
      </c>
      <c r="L12" s="42">
        <v>473395.435</v>
      </c>
      <c r="M12" s="42">
        <v>0</v>
      </c>
      <c r="N12" s="42">
        <v>0</v>
      </c>
      <c r="O12" s="42">
        <v>0</v>
      </c>
      <c r="P12" s="42">
        <v>0</v>
      </c>
      <c r="Q12" s="42">
        <v>77.8</v>
      </c>
      <c r="R12" s="42">
        <v>7541.2479999999996</v>
      </c>
      <c r="S12" s="42">
        <v>25</v>
      </c>
      <c r="T12" s="42">
        <v>1668.21</v>
      </c>
      <c r="U12" s="42">
        <v>0</v>
      </c>
      <c r="V12" s="42">
        <v>0</v>
      </c>
      <c r="W12" s="42">
        <v>0</v>
      </c>
      <c r="X12" s="42">
        <v>0</v>
      </c>
      <c r="Y12" s="44"/>
      <c r="Z12" s="42">
        <v>10813</v>
      </c>
      <c r="AA12" s="42">
        <v>813042.14999999991</v>
      </c>
      <c r="AB12" s="42">
        <v>44688</v>
      </c>
      <c r="AC12" s="42">
        <v>3334861.2700000005</v>
      </c>
      <c r="AD12" s="42">
        <v>0</v>
      </c>
      <c r="AE12" s="42">
        <v>0</v>
      </c>
      <c r="AF12" s="42">
        <v>0</v>
      </c>
      <c r="AG12" s="42">
        <v>0</v>
      </c>
      <c r="AH12" s="42">
        <v>7159</v>
      </c>
      <c r="AI12" s="42">
        <v>606161.37</v>
      </c>
      <c r="AJ12" s="42">
        <v>8929.3333333333339</v>
      </c>
      <c r="AK12" s="42">
        <v>723458.57166666666</v>
      </c>
      <c r="AL12" s="42">
        <v>0</v>
      </c>
      <c r="AM12" s="42">
        <v>18.324758321174738</v>
      </c>
      <c r="AN12" s="42">
        <v>71589.333333333343</v>
      </c>
      <c r="AO12" s="42">
        <v>5477523.3616666673</v>
      </c>
      <c r="AP12" s="42">
        <v>71589.333333333343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9134.9</v>
      </c>
      <c r="BF12" s="42">
        <v>663243.86899999995</v>
      </c>
      <c r="BG12" s="45">
        <v>117201</v>
      </c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</row>
    <row r="13" spans="1:132" ht="15" thickTop="1" x14ac:dyDescent="0.3"/>
  </sheetData>
  <autoFilter ref="A3:BB12" xr:uid="{17F6B03A-1A4E-4C27-9343-31DBF0C7AEF8}"/>
  <mergeCells count="33">
    <mergeCell ref="AW2:AX2"/>
    <mergeCell ref="AY2:AZ2"/>
    <mergeCell ref="BA2:BB2"/>
    <mergeCell ref="BC2:BD2"/>
    <mergeCell ref="BE2:BF2"/>
    <mergeCell ref="AF2:AG2"/>
    <mergeCell ref="AH2:AI2"/>
    <mergeCell ref="AJ2:AK2"/>
    <mergeCell ref="AQ2:AR2"/>
    <mergeCell ref="AS2:AT2"/>
    <mergeCell ref="AU2:AV2"/>
    <mergeCell ref="S2:T2"/>
    <mergeCell ref="U2:V2"/>
    <mergeCell ref="W2:X2"/>
    <mergeCell ref="Z2:AA2"/>
    <mergeCell ref="AB2:AC2"/>
    <mergeCell ref="AD2:AE2"/>
    <mergeCell ref="BA1:BB1"/>
    <mergeCell ref="BC1:BD1"/>
    <mergeCell ref="BE1:BF1"/>
    <mergeCell ref="D2:E2"/>
    <mergeCell ref="F2:G2"/>
    <mergeCell ref="I2:J2"/>
    <mergeCell ref="K2:L2"/>
    <mergeCell ref="M2:N2"/>
    <mergeCell ref="O2:P2"/>
    <mergeCell ref="Q2:R2"/>
    <mergeCell ref="D1:E1"/>
    <mergeCell ref="F1:G1"/>
    <mergeCell ref="I1:X1"/>
    <mergeCell ref="Z1:AM1"/>
    <mergeCell ref="AN1:AO1"/>
    <mergeCell ref="AU1:AZ1"/>
  </mergeCells>
  <conditionalFormatting sqref="C1:C2">
    <cfRule type="duplicateValues" dxfId="2" priority="2"/>
  </conditionalFormatting>
  <conditionalFormatting sqref="C3">
    <cfRule type="duplicateValues" dxfId="1" priority="3"/>
  </conditionalFormatting>
  <conditionalFormatting sqref="C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2025-11-16T12:17:02Z</dcterms:created>
  <dcterms:modified xsi:type="dcterms:W3CDTF">2025-11-16T12:17:02Z</dcterms:modified>
</cp:coreProperties>
</file>